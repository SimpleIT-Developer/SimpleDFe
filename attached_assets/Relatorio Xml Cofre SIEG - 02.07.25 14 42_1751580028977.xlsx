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13_ncr:1_{2909CAF1-4BEE-4BAB-9048-91CB918BF3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átorio de Xml's - Cofre" sheetId="1" r:id="rId1"/>
  </sheets>
  <calcPr calcId="191029"/>
</workbook>
</file>

<file path=xl/calcChain.xml><?xml version="1.0" encoding="utf-8"?>
<calcChain xmlns="http://schemas.openxmlformats.org/spreadsheetml/2006/main">
  <c r="Q27" i="1" l="1"/>
  <c r="P27" i="1"/>
  <c r="Q26" i="1"/>
  <c r="P26" i="1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  <c r="D2" i="1"/>
  <c r="B2" i="1"/>
</calcChain>
</file>

<file path=xl/sharedStrings.xml><?xml version="1.0" encoding="utf-8"?>
<sst xmlns="http://schemas.openxmlformats.org/spreadsheetml/2006/main" count="328" uniqueCount="90">
  <si>
    <t>Relatório Cofre SIEG - 02/07/2025</t>
  </si>
  <si>
    <t>Total de NF-es</t>
  </si>
  <si>
    <t>Subtotal das NF-es</t>
  </si>
  <si>
    <t>Num NFe</t>
  </si>
  <si>
    <t>Valor</t>
  </si>
  <si>
    <t>Data Emissão</t>
  </si>
  <si>
    <t>CNPJ Emit</t>
  </si>
  <si>
    <t>Nome Fant. Emit</t>
  </si>
  <si>
    <t>Razão Soc. Emit</t>
  </si>
  <si>
    <t>CNPJ Dest</t>
  </si>
  <si>
    <t>Nome Fant. Dest</t>
  </si>
  <si>
    <t>Razão Soc. Dest</t>
  </si>
  <si>
    <t>Data de Envio ao Cofre</t>
  </si>
  <si>
    <t>Chave da NFe</t>
  </si>
  <si>
    <t>Tags</t>
  </si>
  <si>
    <t>Código do Evento</t>
  </si>
  <si>
    <t>Tipo do Evento</t>
  </si>
  <si>
    <t>Status</t>
  </si>
  <si>
    <t>Danfe</t>
  </si>
  <si>
    <t>Xml</t>
  </si>
  <si>
    <t>04/06/2025</t>
  </si>
  <si>
    <t>02.421.213/0003-84</t>
  </si>
  <si>
    <t>ACOS ITAPETININGA - FILIAL TATUI</t>
  </si>
  <si>
    <t>ACOS ITAPETININGA LTDA</t>
  </si>
  <si>
    <t>12.080.927/0001-68</t>
  </si>
  <si>
    <t>GUEDES CARRETAS COMERCIO, FABRICACAO E MANUTENCAO EM REBOQUE</t>
  </si>
  <si>
    <t>35250602421213000384550010000208191024212132</t>
  </si>
  <si>
    <t/>
  </si>
  <si>
    <t xml:space="preserve">210210 </t>
  </si>
  <si>
    <t>Ciência da Operação</t>
  </si>
  <si>
    <t>Autorizado o uso da NF-e</t>
  </si>
  <si>
    <t>09/06/2025</t>
  </si>
  <si>
    <t>35250602421213000384550010000209351024212131</t>
  </si>
  <si>
    <t>10/06/2025</t>
  </si>
  <si>
    <t>35250602421213000384550010000209981024212131</t>
  </si>
  <si>
    <t>16/06/2025</t>
  </si>
  <si>
    <t>35250602421213000384550010000211351024212132</t>
  </si>
  <si>
    <t>20/06/2025</t>
  </si>
  <si>
    <t>35250602421213000384550010000212761024212130</t>
  </si>
  <si>
    <t>25/06/2025</t>
  </si>
  <si>
    <t>35250602421213000384550010000213641024212135</t>
  </si>
  <si>
    <t>26/06/2025</t>
  </si>
  <si>
    <t>35250602421213000384550010000213961024212139</t>
  </si>
  <si>
    <t>35250602421213000384550010000213991024212130</t>
  </si>
  <si>
    <t>30/06/2025</t>
  </si>
  <si>
    <t>35250602421213000384550010000214641024212130</t>
  </si>
  <si>
    <t>12/06/2025</t>
  </si>
  <si>
    <t>03.557.367/0001-07</t>
  </si>
  <si>
    <t>AUTO POSTO MORRO DE TATUI LTDA.</t>
  </si>
  <si>
    <t>35250603557367000107550020000295701207524178</t>
  </si>
  <si>
    <t>35250603557367000107550020000298621469780184</t>
  </si>
  <si>
    <t>35250603557367000107550020000298631966029689</t>
  </si>
  <si>
    <t>35250603557367000107550020000299251215329067</t>
  </si>
  <si>
    <t>02/06/2025</t>
  </si>
  <si>
    <t>05.437.537/0009-94</t>
  </si>
  <si>
    <t>AUTO GERAL AUTOPECAS</t>
  </si>
  <si>
    <t>AUTO GERAL AUTOPECAS LTDA</t>
  </si>
  <si>
    <t>35250605437537000994550010000776901144421370</t>
  </si>
  <si>
    <t>06/06/2025</t>
  </si>
  <si>
    <t>35250605437537000994550010000781511748721211</t>
  </si>
  <si>
    <t>20.516.719/0001-97</t>
  </si>
  <si>
    <t>OUTLIERS ELECTRONICS DO BRASIL</t>
  </si>
  <si>
    <t>OUTLIERS ELECTRONICS DO BRASIL LTDA - EPP</t>
  </si>
  <si>
    <t>35250620516719000197550010000085601024109550</t>
  </si>
  <si>
    <t>29.485.403/0003-11</t>
  </si>
  <si>
    <t>Cidade e campo home center comercio ltda</t>
  </si>
  <si>
    <t>35250629485403000311550280000077491416142972</t>
  </si>
  <si>
    <t>03/06/2025</t>
  </si>
  <si>
    <t>38.461.581/0001-31</t>
  </si>
  <si>
    <t>PARADA DO MECANICO LTDA</t>
  </si>
  <si>
    <t>35250638461581000131550020000134671149233589</t>
  </si>
  <si>
    <t>66.093.535/0001-62</t>
  </si>
  <si>
    <t>Pisca Auto Pecas</t>
  </si>
  <si>
    <t>Pisca Auto Pecas Ltda</t>
  </si>
  <si>
    <t>35250666093535000162550000000085871016664012</t>
  </si>
  <si>
    <t>13/06/2025</t>
  </si>
  <si>
    <t>35250666093535000162550000000086831016664019</t>
  </si>
  <si>
    <t>35250666093535000162550000000087741016664015</t>
  </si>
  <si>
    <t>01/07/2025</t>
  </si>
  <si>
    <t>35250666093535000162550000000089091016664018</t>
  </si>
  <si>
    <t>91.688.234/0001-29</t>
  </si>
  <si>
    <t>SINOSCAR</t>
  </si>
  <si>
    <t>SINOSCAR SA</t>
  </si>
  <si>
    <t>GUEDES CARRETAS COM FAB E MAN</t>
  </si>
  <si>
    <t>43250691688234000129550050012971361145234518</t>
  </si>
  <si>
    <t>10.537.972/0001-73</t>
  </si>
  <si>
    <t>REFLEX</t>
  </si>
  <si>
    <t>AA NASCIMENTO IMP. EXP E IND. DE FILMES OPTICOS LT</t>
  </si>
  <si>
    <t>GUEDES CARRETAS COMERCIO FAB E MANUT EM REB E SEMI</t>
  </si>
  <si>
    <t>52250610537972000173550010000090931000113610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</si>
</sst>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"/>
  </numFmts>
  <fonts count="4">
    <font>
      <sz val="11"/>
      <name val="Calibri"/>
    </font>
    <font>
      <u/>
      <sz val="11"/>
      <color rgb="FF037ACF"/>
      <name val="Calibri"/>
    </font>
    <font>
      <b/>
      <sz val="11"/>
      <name val="Calibri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Q27">
  <autoFilter ref="A3:Q27" xr:uid="{00000000-0009-0000-0100-000001000000}">
    <filterColumn colId="0">
      <colorFilter dxfId="0"/>
    </filterColumn>
  </autoFilter>
  <tableColumns count="17">
    <tableColumn id="1" xr3:uid="{00000000-0010-0000-0000-000001000000}" name="Num NFe"/>
    <tableColumn id="2" xr3:uid="{00000000-0010-0000-0000-000002000000}" name="Valor"/>
    <tableColumn id="3" xr3:uid="{00000000-0010-0000-0000-000003000000}" name="Data Emissão"/>
    <tableColumn id="4" xr3:uid="{00000000-0010-0000-0000-000004000000}" name="CNPJ Emit"/>
    <tableColumn id="5" xr3:uid="{00000000-0010-0000-0000-000005000000}" name="Nome Fant. Emit"/>
    <tableColumn id="6" xr3:uid="{00000000-0010-0000-0000-000006000000}" name="Razão Soc. Emit"/>
    <tableColumn id="7" xr3:uid="{00000000-0010-0000-0000-000007000000}" name="CNPJ Dest"/>
    <tableColumn id="8" xr3:uid="{00000000-0010-0000-0000-000008000000}" name="Nome Fant. Dest"/>
    <tableColumn id="9" xr3:uid="{00000000-0010-0000-0000-000009000000}" name="Razão Soc. Dest"/>
    <tableColumn id="10" xr3:uid="{00000000-0010-0000-0000-00000A000000}" name="Data de Envio ao Cofre"/>
    <tableColumn id="11" xr3:uid="{00000000-0010-0000-0000-00000B000000}" name="Chave da NFe"/>
    <tableColumn id="12" xr3:uid="{00000000-0010-0000-0000-00000C000000}" name="Tags"/>
    <tableColumn id="13" xr3:uid="{00000000-0010-0000-0000-00000D000000}" name="Código do Evento"/>
    <tableColumn id="14" xr3:uid="{00000000-0010-0000-0000-00000E000000}" name="Tipo do Evento"/>
    <tableColumn id="15" xr3:uid="{00000000-0010-0000-0000-00000F000000}" name="Status"/>
    <tableColumn id="16" xr3:uid="{00000000-0010-0000-0000-000010000000}" name="Danfe"/>
    <tableColumn id="17" xr3:uid="{00000000-0010-0000-0000-000011000000}" name="Xm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tabSelected="1" workbookViewId="0">
      <selection activeCell="E37" sqref="E37"/>
    </sheetView>
  </sheetViews>
  <sheetFormatPr defaultRowHeight="15"/>
  <cols>
    <col min="1" max="1" width="14.28515625" style="1" customWidth="1"/>
    <col min="2" max="2" width="11.28515625" style="1" customWidth="1"/>
    <col min="3" max="3" width="18.140625" style="1" customWidth="1"/>
    <col min="4" max="4" width="19.28515625" style="1" customWidth="1"/>
    <col min="5" max="5" width="39.7109375" style="1" customWidth="1"/>
    <col min="6" max="6" width="42" style="1" customWidth="1"/>
    <col min="7" max="7" width="19.28515625" style="1" customWidth="1"/>
    <col min="8" max="9" width="68.5703125" style="1" customWidth="1"/>
    <col min="10" max="10" width="24.140625" style="1" customWidth="1"/>
    <col min="11" max="11" width="49.5703125" style="1" customWidth="1"/>
    <col min="12" max="12" width="9.140625" style="1" customWidth="1"/>
    <col min="13" max="14" width="19.28515625" style="1" customWidth="1"/>
    <col min="15" max="15" width="23.5703125" style="1" customWidth="1"/>
    <col min="16" max="17" width="9.140625" style="1" customWidth="1"/>
  </cols>
  <sheetData>
    <row r="1" spans="1:17" ht="19.5">
      <c r="A1" s="6" t="s">
        <v>0</v>
      </c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  <c r="I1" s="6" t="s">
        <v>0</v>
      </c>
      <c r="J1" s="6" t="s">
        <v>0</v>
      </c>
      <c r="K1" s="6" t="s">
        <v>0</v>
      </c>
      <c r="L1" s="6" t="s">
        <v>0</v>
      </c>
      <c r="M1" s="6" t="s">
        <v>0</v>
      </c>
      <c r="N1" s="6" t="s">
        <v>0</v>
      </c>
      <c r="O1" s="6" t="s">
        <v>0</v>
      </c>
      <c r="P1" s="6" t="s">
        <v>0</v>
      </c>
      <c r="Q1" s="6" t="s">
        <v>0</v>
      </c>
    </row>
    <row r="2" spans="1:17">
      <c r="A2" s="4" t="s">
        <v>1</v>
      </c>
      <c r="B2" s="4">
        <f>COUNT(Table1[Num NFe])</f>
        <v>24</v>
      </c>
      <c r="C2" s="4" t="s">
        <v>2</v>
      </c>
      <c r="D2" s="5">
        <f>SUM(Table1[Valor])</f>
        <v>29060.040000000005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</row>
    <row r="4" spans="1:17" hidden="1">
      <c r="A4" s="7">
        <v>20819</v>
      </c>
      <c r="B4" s="1">
        <v>5051.63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25</v>
      </c>
      <c r="J4" s="1" t="s">
        <v>20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30</v>
      </c>
      <c r="P4" s="2" t="str">
        <f>HYPERLINK("https://cofre.sieg.com/ajax/danfe.aspx?nfe=35250602421213000384550010000208191024212132","Ver Danfe")</f>
        <v>Ver Danfe</v>
      </c>
      <c r="Q4" s="2" t="str">
        <f>HYPERLINK("https://cofre.sieg.com/ajax/xml.aspx?nfe=35250602421213000384550010000208191024212132","Baixar Xml")</f>
        <v>Baixar Xml</v>
      </c>
    </row>
    <row r="5" spans="1:17" hidden="1">
      <c r="A5" s="7">
        <v>20935</v>
      </c>
      <c r="B5" s="1">
        <v>5812.22</v>
      </c>
      <c r="C5" s="1" t="s">
        <v>31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 t="s">
        <v>25</v>
      </c>
      <c r="J5" s="1" t="s">
        <v>31</v>
      </c>
      <c r="K5" s="1" t="s">
        <v>32</v>
      </c>
      <c r="L5" s="1" t="s">
        <v>27</v>
      </c>
      <c r="O5" s="1" t="s">
        <v>30</v>
      </c>
      <c r="P5" s="2" t="str">
        <f>HYPERLINK("https://cofre.sieg.com/ajax/danfe.aspx?nfe=35250602421213000384550010000209351024212131","Ver Danfe")</f>
        <v>Ver Danfe</v>
      </c>
      <c r="Q5" s="2" t="str">
        <f>HYPERLINK("https://cofre.sieg.com/ajax/xml.aspx?nfe=35250602421213000384550010000209351024212131","Baixar Xml")</f>
        <v>Baixar Xml</v>
      </c>
    </row>
    <row r="6" spans="1:17" hidden="1">
      <c r="A6" s="7">
        <v>20998</v>
      </c>
      <c r="B6" s="1">
        <v>687.5</v>
      </c>
      <c r="C6" s="1" t="s">
        <v>33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25</v>
      </c>
      <c r="J6" s="1" t="s">
        <v>33</v>
      </c>
      <c r="K6" s="1" t="s">
        <v>34</v>
      </c>
      <c r="L6" s="1" t="s">
        <v>27</v>
      </c>
      <c r="O6" s="1" t="s">
        <v>30</v>
      </c>
      <c r="P6" s="2" t="str">
        <f>HYPERLINK("https://cofre.sieg.com/ajax/danfe.aspx?nfe=35250602421213000384550010000209981024212131","Ver Danfe")</f>
        <v>Ver Danfe</v>
      </c>
      <c r="Q6" s="2" t="str">
        <f>HYPERLINK("https://cofre.sieg.com/ajax/xml.aspx?nfe=35250602421213000384550010000209981024212131","Baixar Xml")</f>
        <v>Baixar Xml</v>
      </c>
    </row>
    <row r="7" spans="1:17" hidden="1">
      <c r="A7" s="7">
        <v>21135</v>
      </c>
      <c r="B7" s="1">
        <v>174.99</v>
      </c>
      <c r="C7" s="1" t="s">
        <v>35</v>
      </c>
      <c r="D7" s="1" t="s">
        <v>21</v>
      </c>
      <c r="E7" s="1" t="s">
        <v>22</v>
      </c>
      <c r="F7" s="1" t="s">
        <v>23</v>
      </c>
      <c r="G7" s="1" t="s">
        <v>24</v>
      </c>
      <c r="H7" s="1" t="s">
        <v>25</v>
      </c>
      <c r="I7" s="1" t="s">
        <v>25</v>
      </c>
      <c r="J7" s="1" t="s">
        <v>35</v>
      </c>
      <c r="K7" s="1" t="s">
        <v>36</v>
      </c>
      <c r="L7" s="1" t="s">
        <v>27</v>
      </c>
      <c r="M7" s="1" t="s">
        <v>28</v>
      </c>
      <c r="N7" s="1" t="s">
        <v>29</v>
      </c>
      <c r="O7" s="1" t="s">
        <v>30</v>
      </c>
      <c r="P7" s="2" t="str">
        <f>HYPERLINK("https://cofre.sieg.com/ajax/danfe.aspx?nfe=35250602421213000384550010000211351024212132","Ver Danfe")</f>
        <v>Ver Danfe</v>
      </c>
      <c r="Q7" s="2" t="str">
        <f>HYPERLINK("https://cofre.sieg.com/ajax/xml.aspx?nfe=35250602421213000384550010000211351024212132","Baixar Xml")</f>
        <v>Baixar Xml</v>
      </c>
    </row>
    <row r="8" spans="1:17" hidden="1">
      <c r="A8" s="7">
        <v>21276</v>
      </c>
      <c r="B8" s="3">
        <v>162</v>
      </c>
      <c r="C8" s="1" t="s">
        <v>37</v>
      </c>
      <c r="D8" s="1" t="s">
        <v>21</v>
      </c>
      <c r="E8" s="1" t="s">
        <v>22</v>
      </c>
      <c r="F8" s="1" t="s">
        <v>23</v>
      </c>
      <c r="G8" s="1" t="s">
        <v>24</v>
      </c>
      <c r="H8" s="1" t="s">
        <v>25</v>
      </c>
      <c r="I8" s="1" t="s">
        <v>25</v>
      </c>
      <c r="J8" s="1" t="s">
        <v>37</v>
      </c>
      <c r="K8" s="1" t="s">
        <v>38</v>
      </c>
      <c r="L8" s="1" t="s">
        <v>27</v>
      </c>
      <c r="O8" s="1" t="s">
        <v>30</v>
      </c>
      <c r="P8" s="2" t="str">
        <f>HYPERLINK("https://cofre.sieg.com/ajax/danfe.aspx?nfe=35250602421213000384550010000212761024212130","Ver Danfe")</f>
        <v>Ver Danfe</v>
      </c>
      <c r="Q8" s="2" t="str">
        <f>HYPERLINK("https://cofre.sieg.com/ajax/xml.aspx?nfe=35250602421213000384550010000212761024212130","Baixar Xml")</f>
        <v>Baixar Xml</v>
      </c>
    </row>
    <row r="9" spans="1:17" hidden="1">
      <c r="A9" s="7">
        <v>21364</v>
      </c>
      <c r="B9" s="1">
        <v>1744.77</v>
      </c>
      <c r="C9" s="1" t="s">
        <v>39</v>
      </c>
      <c r="D9" s="1" t="s">
        <v>21</v>
      </c>
      <c r="E9" s="1" t="s">
        <v>22</v>
      </c>
      <c r="F9" s="1" t="s">
        <v>23</v>
      </c>
      <c r="G9" s="1" t="s">
        <v>24</v>
      </c>
      <c r="H9" s="1" t="s">
        <v>25</v>
      </c>
      <c r="I9" s="1" t="s">
        <v>25</v>
      </c>
      <c r="J9" s="1" t="s">
        <v>39</v>
      </c>
      <c r="K9" s="1" t="s">
        <v>40</v>
      </c>
      <c r="L9" s="1" t="s">
        <v>27</v>
      </c>
      <c r="M9" s="1" t="s">
        <v>28</v>
      </c>
      <c r="N9" s="1" t="s">
        <v>29</v>
      </c>
      <c r="O9" s="1" t="s">
        <v>30</v>
      </c>
      <c r="P9" s="2" t="str">
        <f>HYPERLINK("https://cofre.sieg.com/ajax/danfe.aspx?nfe=35250602421213000384550010000213641024212135","Ver Danfe")</f>
        <v>Ver Danfe</v>
      </c>
      <c r="Q9" s="2" t="str">
        <f>HYPERLINK("https://cofre.sieg.com/ajax/xml.aspx?nfe=35250602421213000384550010000213641024212135","Baixar Xml")</f>
        <v>Baixar Xml</v>
      </c>
    </row>
    <row r="10" spans="1:17" hidden="1">
      <c r="A10" s="7">
        <v>21396</v>
      </c>
      <c r="B10" s="1">
        <v>1680.35</v>
      </c>
      <c r="C10" s="1" t="s">
        <v>41</v>
      </c>
      <c r="D10" s="1" t="s">
        <v>21</v>
      </c>
      <c r="E10" s="1" t="s">
        <v>22</v>
      </c>
      <c r="F10" s="1" t="s">
        <v>23</v>
      </c>
      <c r="G10" s="1" t="s">
        <v>24</v>
      </c>
      <c r="H10" s="1" t="s">
        <v>25</v>
      </c>
      <c r="I10" s="1" t="s">
        <v>25</v>
      </c>
      <c r="J10" s="1" t="s">
        <v>41</v>
      </c>
      <c r="K10" s="1" t="s">
        <v>42</v>
      </c>
      <c r="L10" s="1" t="s">
        <v>27</v>
      </c>
      <c r="M10" s="1" t="s">
        <v>28</v>
      </c>
      <c r="N10" s="1" t="s">
        <v>29</v>
      </c>
      <c r="O10" s="1" t="s">
        <v>30</v>
      </c>
      <c r="P10" s="2" t="str">
        <f>HYPERLINK("https://cofre.sieg.com/ajax/danfe.aspx?nfe=35250602421213000384550010000213961024212139","Ver Danfe")</f>
        <v>Ver Danfe</v>
      </c>
      <c r="Q10" s="2" t="str">
        <f>HYPERLINK("https://cofre.sieg.com/ajax/xml.aspx?nfe=35250602421213000384550010000213961024212139","Baixar Xml")</f>
        <v>Baixar Xml</v>
      </c>
    </row>
    <row r="11" spans="1:17" hidden="1">
      <c r="A11" s="7">
        <v>21399</v>
      </c>
      <c r="B11" s="1">
        <v>243.1</v>
      </c>
      <c r="C11" s="1" t="s">
        <v>41</v>
      </c>
      <c r="D11" s="1" t="s">
        <v>21</v>
      </c>
      <c r="E11" s="1" t="s">
        <v>22</v>
      </c>
      <c r="F11" s="1" t="s">
        <v>23</v>
      </c>
      <c r="G11" s="1" t="s">
        <v>24</v>
      </c>
      <c r="H11" s="1" t="s">
        <v>25</v>
      </c>
      <c r="I11" s="1" t="s">
        <v>25</v>
      </c>
      <c r="J11" s="1" t="s">
        <v>41</v>
      </c>
      <c r="K11" s="1" t="s">
        <v>43</v>
      </c>
      <c r="L11" s="1" t="s">
        <v>27</v>
      </c>
      <c r="M11" s="1" t="s">
        <v>28</v>
      </c>
      <c r="N11" s="1" t="s">
        <v>29</v>
      </c>
      <c r="O11" s="1" t="s">
        <v>30</v>
      </c>
      <c r="P11" s="2" t="str">
        <f>HYPERLINK("https://cofre.sieg.com/ajax/danfe.aspx?nfe=35250602421213000384550010000213991024212130","Ver Danfe")</f>
        <v>Ver Danfe</v>
      </c>
      <c r="Q11" s="2" t="str">
        <f>HYPERLINK("https://cofre.sieg.com/ajax/xml.aspx?nfe=35250602421213000384550010000213991024212130","Baixar Xml")</f>
        <v>Baixar Xml</v>
      </c>
    </row>
    <row r="12" spans="1:17">
      <c r="A12" s="1">
        <v>21464</v>
      </c>
      <c r="B12" s="1">
        <v>534.08000000000004</v>
      </c>
      <c r="C12" s="1" t="s">
        <v>44</v>
      </c>
      <c r="D12" s="1" t="s">
        <v>21</v>
      </c>
      <c r="E12" s="1" t="s">
        <v>22</v>
      </c>
      <c r="F12" s="1" t="s">
        <v>23</v>
      </c>
      <c r="G12" s="1" t="s">
        <v>24</v>
      </c>
      <c r="H12" s="1" t="s">
        <v>25</v>
      </c>
      <c r="I12" s="1" t="s">
        <v>25</v>
      </c>
      <c r="J12" s="1" t="s">
        <v>44</v>
      </c>
      <c r="K12" s="1" t="s">
        <v>45</v>
      </c>
      <c r="L12" s="1" t="s">
        <v>27</v>
      </c>
      <c r="M12" s="1" t="s">
        <v>28</v>
      </c>
      <c r="N12" s="1" t="s">
        <v>29</v>
      </c>
      <c r="O12" s="1" t="s">
        <v>30</v>
      </c>
      <c r="P12" s="2" t="str">
        <f>HYPERLINK("https://cofre.sieg.com/ajax/danfe.aspx?nfe=35250602421213000384550010000214641024212130","Ver Danfe")</f>
        <v>Ver Danfe</v>
      </c>
      <c r="Q12" s="2" t="str">
        <f>HYPERLINK("https://cofre.sieg.com/ajax/xml.aspx?nfe=35250602421213000384550010000214641024212130","Baixar Xml")</f>
        <v>Baixar Xml</v>
      </c>
    </row>
    <row r="13" spans="1:17" hidden="1">
      <c r="A13" s="7">
        <v>29570</v>
      </c>
      <c r="B13" s="1">
        <v>262.22000000000003</v>
      </c>
      <c r="C13" s="1" t="s">
        <v>46</v>
      </c>
      <c r="D13" s="1" t="s">
        <v>47</v>
      </c>
      <c r="E13" s="1" t="s">
        <v>48</v>
      </c>
      <c r="F13" s="1" t="s">
        <v>48</v>
      </c>
      <c r="G13" s="1" t="s">
        <v>24</v>
      </c>
      <c r="H13" s="1" t="s">
        <v>25</v>
      </c>
      <c r="I13" s="1" t="s">
        <v>25</v>
      </c>
      <c r="J13" s="1" t="s">
        <v>46</v>
      </c>
      <c r="K13" s="1" t="s">
        <v>49</v>
      </c>
      <c r="L13" s="1" t="s">
        <v>27</v>
      </c>
      <c r="O13" s="1" t="s">
        <v>30</v>
      </c>
      <c r="P13" s="2" t="str">
        <f>HYPERLINK("https://cofre.sieg.com/ajax/danfe.aspx?nfe=35250603557367000107550020000295701207524178","Ver Danfe")</f>
        <v>Ver Danfe</v>
      </c>
      <c r="Q13" s="2" t="str">
        <f>HYPERLINK("https://cofre.sieg.com/ajax/xml.aspx?nfe=35250603557367000107550020000295701207524178","Baixar Xml")</f>
        <v>Baixar Xml</v>
      </c>
    </row>
    <row r="14" spans="1:17" hidden="1">
      <c r="A14" s="7">
        <v>29862</v>
      </c>
      <c r="B14" s="1">
        <v>215.5</v>
      </c>
      <c r="C14" s="1" t="s">
        <v>41</v>
      </c>
      <c r="D14" s="1" t="s">
        <v>47</v>
      </c>
      <c r="E14" s="1" t="s">
        <v>48</v>
      </c>
      <c r="F14" s="1" t="s">
        <v>48</v>
      </c>
      <c r="G14" s="1" t="s">
        <v>24</v>
      </c>
      <c r="H14" s="1" t="s">
        <v>25</v>
      </c>
      <c r="I14" s="1" t="s">
        <v>25</v>
      </c>
      <c r="J14" s="1" t="s">
        <v>41</v>
      </c>
      <c r="K14" s="1" t="s">
        <v>50</v>
      </c>
      <c r="L14" s="1" t="s">
        <v>27</v>
      </c>
      <c r="M14" s="1" t="s">
        <v>28</v>
      </c>
      <c r="N14" s="1" t="s">
        <v>29</v>
      </c>
      <c r="O14" s="1" t="s">
        <v>30</v>
      </c>
      <c r="P14" s="2" t="str">
        <f>HYPERLINK("https://cofre.sieg.com/ajax/danfe.aspx?nfe=35250603557367000107550020000298621469780184","Ver Danfe")</f>
        <v>Ver Danfe</v>
      </c>
      <c r="Q14" s="2" t="str">
        <f>HYPERLINK("https://cofre.sieg.com/ajax/xml.aspx?nfe=35250603557367000107550020000298621469780184","Baixar Xml")</f>
        <v>Baixar Xml</v>
      </c>
    </row>
    <row r="15" spans="1:17" hidden="1">
      <c r="A15" s="7">
        <v>29863</v>
      </c>
      <c r="B15" s="1">
        <v>188.74</v>
      </c>
      <c r="C15" s="1" t="s">
        <v>41</v>
      </c>
      <c r="D15" s="1" t="s">
        <v>47</v>
      </c>
      <c r="E15" s="1" t="s">
        <v>48</v>
      </c>
      <c r="F15" s="1" t="s">
        <v>48</v>
      </c>
      <c r="G15" s="1" t="s">
        <v>24</v>
      </c>
      <c r="H15" s="1" t="s">
        <v>25</v>
      </c>
      <c r="I15" s="1" t="s">
        <v>25</v>
      </c>
      <c r="J15" s="1" t="s">
        <v>41</v>
      </c>
      <c r="K15" s="1" t="s">
        <v>51</v>
      </c>
      <c r="L15" s="1" t="s">
        <v>27</v>
      </c>
      <c r="M15" s="1" t="s">
        <v>28</v>
      </c>
      <c r="N15" s="1" t="s">
        <v>29</v>
      </c>
      <c r="O15" s="1" t="s">
        <v>30</v>
      </c>
      <c r="P15" s="2" t="str">
        <f>HYPERLINK("https://cofre.sieg.com/ajax/danfe.aspx?nfe=35250603557367000107550020000298631966029689","Ver Danfe")</f>
        <v>Ver Danfe</v>
      </c>
      <c r="Q15" s="2" t="str">
        <f>HYPERLINK("https://cofre.sieg.com/ajax/xml.aspx?nfe=35250603557367000107550020000298631966029689","Baixar Xml")</f>
        <v>Baixar Xml</v>
      </c>
    </row>
    <row r="16" spans="1:17">
      <c r="A16" s="1">
        <v>29925</v>
      </c>
      <c r="B16" s="1">
        <v>157.53</v>
      </c>
      <c r="C16" s="1" t="s">
        <v>44</v>
      </c>
      <c r="D16" s="1" t="s">
        <v>47</v>
      </c>
      <c r="E16" s="1" t="s">
        <v>48</v>
      </c>
      <c r="F16" s="1" t="s">
        <v>48</v>
      </c>
      <c r="G16" s="1" t="s">
        <v>24</v>
      </c>
      <c r="H16" s="1" t="s">
        <v>25</v>
      </c>
      <c r="I16" s="1" t="s">
        <v>25</v>
      </c>
      <c r="J16" s="1" t="s">
        <v>44</v>
      </c>
      <c r="K16" s="1" t="s">
        <v>52</v>
      </c>
      <c r="L16" s="1" t="s">
        <v>27</v>
      </c>
      <c r="M16" s="1" t="s">
        <v>28</v>
      </c>
      <c r="N16" s="1" t="s">
        <v>29</v>
      </c>
      <c r="O16" s="1" t="s">
        <v>30</v>
      </c>
      <c r="P16" s="2" t="str">
        <f>HYPERLINK("https://cofre.sieg.com/ajax/danfe.aspx?nfe=35250603557367000107550020000299251215329067","Ver Danfe")</f>
        <v>Ver Danfe</v>
      </c>
      <c r="Q16" s="2" t="str">
        <f>HYPERLINK("https://cofre.sieg.com/ajax/xml.aspx?nfe=35250603557367000107550020000299251215329067","Baixar Xml")</f>
        <v>Baixar Xml</v>
      </c>
    </row>
    <row r="17" spans="1:17" hidden="1">
      <c r="A17" s="7">
        <v>77690</v>
      </c>
      <c r="B17" s="1">
        <v>133.12</v>
      </c>
      <c r="C17" s="1" t="s">
        <v>53</v>
      </c>
      <c r="D17" s="1" t="s">
        <v>54</v>
      </c>
      <c r="E17" s="1" t="s">
        <v>55</v>
      </c>
      <c r="F17" s="1" t="s">
        <v>56</v>
      </c>
      <c r="G17" s="1" t="s">
        <v>24</v>
      </c>
      <c r="H17" s="1" t="s">
        <v>25</v>
      </c>
      <c r="I17" s="1" t="s">
        <v>25</v>
      </c>
      <c r="J17" s="1" t="s">
        <v>53</v>
      </c>
      <c r="K17" s="1" t="s">
        <v>57</v>
      </c>
      <c r="L17" s="1" t="s">
        <v>27</v>
      </c>
      <c r="O17" s="1" t="s">
        <v>30</v>
      </c>
      <c r="P17" s="2" t="str">
        <f>HYPERLINK("https://cofre.sieg.com/ajax/danfe.aspx?nfe=35250605437537000994550010000776901144421370","Ver Danfe")</f>
        <v>Ver Danfe</v>
      </c>
      <c r="Q17" s="2" t="str">
        <f>HYPERLINK("https://cofre.sieg.com/ajax/xml.aspx?nfe=35250605437537000994550010000776901144421370","Baixar Xml")</f>
        <v>Baixar Xml</v>
      </c>
    </row>
    <row r="18" spans="1:17" hidden="1">
      <c r="A18" s="7">
        <v>78151</v>
      </c>
      <c r="B18" s="1">
        <v>23.12</v>
      </c>
      <c r="C18" s="1" t="s">
        <v>58</v>
      </c>
      <c r="D18" s="1" t="s">
        <v>54</v>
      </c>
      <c r="E18" s="1" t="s">
        <v>55</v>
      </c>
      <c r="F18" s="1" t="s">
        <v>56</v>
      </c>
      <c r="G18" s="1" t="s">
        <v>24</v>
      </c>
      <c r="H18" s="1" t="s">
        <v>25</v>
      </c>
      <c r="I18" s="1" t="s">
        <v>25</v>
      </c>
      <c r="J18" s="1" t="s">
        <v>58</v>
      </c>
      <c r="K18" s="1" t="s">
        <v>59</v>
      </c>
      <c r="L18" s="1" t="s">
        <v>27</v>
      </c>
      <c r="O18" s="1" t="s">
        <v>30</v>
      </c>
      <c r="P18" s="2" t="str">
        <f>HYPERLINK("https://cofre.sieg.com/ajax/danfe.aspx?nfe=35250605437537000994550010000781511748721211","Ver Danfe")</f>
        <v>Ver Danfe</v>
      </c>
      <c r="Q18" s="2" t="str">
        <f>HYPERLINK("https://cofre.sieg.com/ajax/xml.aspx?nfe=35250605437537000994550010000781511748721211","Baixar Xml")</f>
        <v>Baixar Xml</v>
      </c>
    </row>
    <row r="19" spans="1:17" hidden="1">
      <c r="A19" s="7">
        <v>8560</v>
      </c>
      <c r="B19" s="3">
        <v>7147</v>
      </c>
      <c r="C19" s="1" t="s">
        <v>31</v>
      </c>
      <c r="D19" s="1" t="s">
        <v>60</v>
      </c>
      <c r="E19" s="1" t="s">
        <v>61</v>
      </c>
      <c r="F19" s="1" t="s">
        <v>62</v>
      </c>
      <c r="G19" s="1" t="s">
        <v>24</v>
      </c>
      <c r="H19" s="1" t="s">
        <v>25</v>
      </c>
      <c r="I19" s="1" t="s">
        <v>25</v>
      </c>
      <c r="J19" s="1" t="s">
        <v>31</v>
      </c>
      <c r="K19" s="1" t="s">
        <v>63</v>
      </c>
      <c r="L19" s="1" t="s">
        <v>27</v>
      </c>
      <c r="O19" s="1" t="s">
        <v>30</v>
      </c>
      <c r="P19" s="2" t="str">
        <f>HYPERLINK("https://cofre.sieg.com/ajax/danfe.aspx?nfe=35250620516719000197550010000085601024109550","Ver Danfe")</f>
        <v>Ver Danfe</v>
      </c>
      <c r="Q19" s="2" t="str">
        <f>HYPERLINK("https://cofre.sieg.com/ajax/xml.aspx?nfe=35250620516719000197550010000085601024109550","Baixar Xml")</f>
        <v>Baixar Xml</v>
      </c>
    </row>
    <row r="20" spans="1:17" hidden="1">
      <c r="A20" s="7">
        <v>7749</v>
      </c>
      <c r="B20" s="1">
        <v>377.89</v>
      </c>
      <c r="C20" s="1" t="s">
        <v>20</v>
      </c>
      <c r="D20" s="1" t="s">
        <v>64</v>
      </c>
      <c r="E20" s="1" t="s">
        <v>65</v>
      </c>
      <c r="F20" s="1" t="s">
        <v>65</v>
      </c>
      <c r="G20" s="1" t="s">
        <v>24</v>
      </c>
      <c r="H20" s="1" t="s">
        <v>25</v>
      </c>
      <c r="I20" s="1" t="s">
        <v>25</v>
      </c>
      <c r="J20" s="1" t="s">
        <v>20</v>
      </c>
      <c r="K20" s="1" t="s">
        <v>66</v>
      </c>
      <c r="L20" s="1" t="s">
        <v>27</v>
      </c>
      <c r="O20" s="1" t="s">
        <v>30</v>
      </c>
      <c r="P20" s="2" t="str">
        <f>HYPERLINK("https://cofre.sieg.com/ajax/danfe.aspx?nfe=35250629485403000311550280000077491416142972","Ver Danfe")</f>
        <v>Ver Danfe</v>
      </c>
      <c r="Q20" s="2" t="str">
        <f>HYPERLINK("https://cofre.sieg.com/ajax/xml.aspx?nfe=35250629485403000311550280000077491416142972","Baixar Xml")</f>
        <v>Baixar Xml</v>
      </c>
    </row>
    <row r="21" spans="1:17" hidden="1">
      <c r="A21" s="7">
        <v>13467</v>
      </c>
      <c r="B21" s="1">
        <v>199.9</v>
      </c>
      <c r="C21" s="1" t="s">
        <v>67</v>
      </c>
      <c r="D21" s="1" t="s">
        <v>68</v>
      </c>
      <c r="E21" s="1" t="s">
        <v>69</v>
      </c>
      <c r="F21" s="1" t="s">
        <v>69</v>
      </c>
      <c r="G21" s="1" t="s">
        <v>24</v>
      </c>
      <c r="H21" s="1" t="s">
        <v>25</v>
      </c>
      <c r="I21" s="1" t="s">
        <v>25</v>
      </c>
      <c r="J21" s="1" t="s">
        <v>67</v>
      </c>
      <c r="K21" s="1" t="s">
        <v>70</v>
      </c>
      <c r="L21" s="1" t="s">
        <v>27</v>
      </c>
      <c r="M21" s="1" t="s">
        <v>28</v>
      </c>
      <c r="N21" s="1" t="s">
        <v>29</v>
      </c>
      <c r="O21" s="1" t="s">
        <v>30</v>
      </c>
      <c r="P21" s="2" t="str">
        <f>HYPERLINK("https://cofre.sieg.com/ajax/danfe.aspx?nfe=35250638461581000131550020000134671149233589","Ver Danfe")</f>
        <v>Ver Danfe</v>
      </c>
      <c r="Q21" s="2" t="str">
        <f>HYPERLINK("https://cofre.sieg.com/ajax/xml.aspx?nfe=35250638461581000131550020000134671149233589","Baixar Xml")</f>
        <v>Baixar Xml</v>
      </c>
    </row>
    <row r="22" spans="1:17" hidden="1">
      <c r="A22" s="7">
        <v>8587</v>
      </c>
      <c r="B22" s="1">
        <v>930.02</v>
      </c>
      <c r="C22" s="1" t="s">
        <v>53</v>
      </c>
      <c r="D22" s="1" t="s">
        <v>71</v>
      </c>
      <c r="E22" s="1" t="s">
        <v>72</v>
      </c>
      <c r="F22" s="1" t="s">
        <v>73</v>
      </c>
      <c r="G22" s="1" t="s">
        <v>24</v>
      </c>
      <c r="H22" s="1" t="s">
        <v>25</v>
      </c>
      <c r="I22" s="1" t="s">
        <v>25</v>
      </c>
      <c r="J22" s="1" t="s">
        <v>53</v>
      </c>
      <c r="K22" s="1" t="s">
        <v>74</v>
      </c>
      <c r="L22" s="1" t="s">
        <v>27</v>
      </c>
      <c r="O22" s="1" t="s">
        <v>30</v>
      </c>
      <c r="P22" s="2" t="str">
        <f>HYPERLINK("https://cofre.sieg.com/ajax/danfe.aspx?nfe=35250666093535000162550000000085871016664012","Ver Danfe")</f>
        <v>Ver Danfe</v>
      </c>
      <c r="Q22" s="2" t="str">
        <f>HYPERLINK("https://cofre.sieg.com/ajax/xml.aspx?nfe=35250666093535000162550000000085871016664012","Baixar Xml")</f>
        <v>Baixar Xml</v>
      </c>
    </row>
    <row r="23" spans="1:17" hidden="1">
      <c r="A23" s="7">
        <v>8683</v>
      </c>
      <c r="B23" s="1">
        <v>36.9</v>
      </c>
      <c r="C23" s="1" t="s">
        <v>75</v>
      </c>
      <c r="D23" s="1" t="s">
        <v>71</v>
      </c>
      <c r="E23" s="1" t="s">
        <v>72</v>
      </c>
      <c r="F23" s="1" t="s">
        <v>73</v>
      </c>
      <c r="G23" s="1" t="s">
        <v>24</v>
      </c>
      <c r="H23" s="1" t="s">
        <v>25</v>
      </c>
      <c r="I23" s="1" t="s">
        <v>25</v>
      </c>
      <c r="J23" s="1" t="s">
        <v>75</v>
      </c>
      <c r="K23" s="1" t="s">
        <v>76</v>
      </c>
      <c r="L23" s="1" t="s">
        <v>27</v>
      </c>
      <c r="M23" s="1" t="s">
        <v>28</v>
      </c>
      <c r="N23" s="1" t="s">
        <v>29</v>
      </c>
      <c r="O23" s="1" t="s">
        <v>30</v>
      </c>
      <c r="P23" s="2" t="str">
        <f>HYPERLINK("https://cofre.sieg.com/ajax/danfe.aspx?nfe=35250666093535000162550000000086831016664019","Ver Danfe")</f>
        <v>Ver Danfe</v>
      </c>
      <c r="Q23" s="2" t="str">
        <f>HYPERLINK("https://cofre.sieg.com/ajax/xml.aspx?nfe=35250666093535000162550000000086831016664019","Baixar Xml")</f>
        <v>Baixar Xml</v>
      </c>
    </row>
    <row r="24" spans="1:17" hidden="1">
      <c r="A24" s="7">
        <v>8774</v>
      </c>
      <c r="B24" s="1">
        <v>680.02</v>
      </c>
      <c r="C24" s="1" t="s">
        <v>35</v>
      </c>
      <c r="D24" s="1" t="s">
        <v>71</v>
      </c>
      <c r="E24" s="1" t="s">
        <v>72</v>
      </c>
      <c r="F24" s="1" t="s">
        <v>73</v>
      </c>
      <c r="G24" s="1" t="s">
        <v>24</v>
      </c>
      <c r="H24" s="1" t="s">
        <v>25</v>
      </c>
      <c r="I24" s="1" t="s">
        <v>25</v>
      </c>
      <c r="J24" s="1" t="s">
        <v>35</v>
      </c>
      <c r="K24" s="1" t="s">
        <v>77</v>
      </c>
      <c r="L24" s="1" t="s">
        <v>27</v>
      </c>
      <c r="O24" s="1" t="s">
        <v>30</v>
      </c>
      <c r="P24" s="2" t="str">
        <f>HYPERLINK("https://cofre.sieg.com/ajax/danfe.aspx?nfe=35250666093535000162550000000087741016664015","Ver Danfe")</f>
        <v>Ver Danfe</v>
      </c>
      <c r="Q24" s="2" t="str">
        <f>HYPERLINK("https://cofre.sieg.com/ajax/xml.aspx?nfe=35250666093535000162550000000087741016664015","Baixar Xml")</f>
        <v>Baixar Xml</v>
      </c>
    </row>
    <row r="25" spans="1:17">
      <c r="A25" s="1">
        <v>8909</v>
      </c>
      <c r="B25" s="1">
        <v>70.2</v>
      </c>
      <c r="C25" s="1" t="s">
        <v>44</v>
      </c>
      <c r="D25" s="1" t="s">
        <v>71</v>
      </c>
      <c r="E25" s="1" t="s">
        <v>72</v>
      </c>
      <c r="F25" s="1" t="s">
        <v>73</v>
      </c>
      <c r="G25" s="1" t="s">
        <v>24</v>
      </c>
      <c r="H25" s="1" t="s">
        <v>25</v>
      </c>
      <c r="I25" s="1" t="s">
        <v>25</v>
      </c>
      <c r="J25" s="1" t="s">
        <v>78</v>
      </c>
      <c r="K25" s="1" t="s">
        <v>79</v>
      </c>
      <c r="L25" s="1" t="s">
        <v>27</v>
      </c>
      <c r="M25" s="1" t="s">
        <v>28</v>
      </c>
      <c r="N25" s="1" t="s">
        <v>29</v>
      </c>
      <c r="O25" s="1" t="s">
        <v>30</v>
      </c>
      <c r="P25" s="2" t="str">
        <f>HYPERLINK("https://cofre.sieg.com/ajax/danfe.aspx?nfe=35250666093535000162550000000089091016664018","Ver Danfe")</f>
        <v>Ver Danfe</v>
      </c>
      <c r="Q25" s="2" t="str">
        <f>HYPERLINK("https://cofre.sieg.com/ajax/xml.aspx?nfe=35250666093535000162550000000089091016664018","Baixar Xml")</f>
        <v>Baixar Xml</v>
      </c>
    </row>
    <row r="26" spans="1:17" hidden="1">
      <c r="A26" s="7">
        <v>1297136</v>
      </c>
      <c r="B26" s="1">
        <v>397.24</v>
      </c>
      <c r="C26" s="1" t="s">
        <v>53</v>
      </c>
      <c r="D26" s="1" t="s">
        <v>80</v>
      </c>
      <c r="E26" s="1" t="s">
        <v>81</v>
      </c>
      <c r="F26" s="1" t="s">
        <v>82</v>
      </c>
      <c r="G26" s="1" t="s">
        <v>24</v>
      </c>
      <c r="H26" s="1" t="s">
        <v>83</v>
      </c>
      <c r="I26" s="1" t="s">
        <v>83</v>
      </c>
      <c r="J26" s="1" t="s">
        <v>53</v>
      </c>
      <c r="K26" s="1" t="s">
        <v>84</v>
      </c>
      <c r="L26" s="1" t="s">
        <v>27</v>
      </c>
      <c r="M26" s="1" t="s">
        <v>28</v>
      </c>
      <c r="N26" s="1" t="s">
        <v>29</v>
      </c>
      <c r="O26" s="1" t="s">
        <v>30</v>
      </c>
      <c r="P26" s="2" t="str">
        <f>HYPERLINK("https://cofre.sieg.com/ajax/danfe.aspx?nfe=43250691688234000129550050012971361145234518","Ver Danfe")</f>
        <v>Ver Danfe</v>
      </c>
      <c r="Q26" s="2" t="str">
        <f>HYPERLINK("https://cofre.sieg.com/ajax/xml.aspx?nfe=43250691688234000129550050012971361145234518","Baixar Xml")</f>
        <v>Baixar Xml</v>
      </c>
    </row>
    <row r="27" spans="1:17" hidden="1">
      <c r="A27" s="7">
        <v>9093</v>
      </c>
      <c r="B27" s="3">
        <v>2150</v>
      </c>
      <c r="C27" s="1" t="s">
        <v>75</v>
      </c>
      <c r="D27" s="1" t="s">
        <v>85</v>
      </c>
      <c r="E27" s="1" t="s">
        <v>86</v>
      </c>
      <c r="F27" s="1" t="s">
        <v>87</v>
      </c>
      <c r="G27" s="1" t="s">
        <v>24</v>
      </c>
      <c r="H27" s="1" t="s">
        <v>88</v>
      </c>
      <c r="I27" s="1" t="s">
        <v>88</v>
      </c>
      <c r="J27" s="1" t="s">
        <v>75</v>
      </c>
      <c r="K27" s="1" t="s">
        <v>89</v>
      </c>
      <c r="L27" s="1" t="s">
        <v>27</v>
      </c>
      <c r="M27" s="1" t="s">
        <v>28</v>
      </c>
      <c r="N27" s="1" t="s">
        <v>29</v>
      </c>
      <c r="O27" s="1" t="s">
        <v>30</v>
      </c>
      <c r="P27" s="2" t="str">
        <f>HYPERLINK("https://cofre.sieg.com/ajax/danfe.aspx?nfe=52250610537972000173550010000090931000113610","Ver Danfe")</f>
        <v>Ver Danfe</v>
      </c>
      <c r="Q27" s="2" t="str">
        <f>HYPERLINK("https://cofre.sieg.com/ajax/xml.aspx?nfe=52250610537972000173550010000090931000113610","Baixar Xml")</f>
        <v>Baixar Xml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Relátorio de Xml's - Cofre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Pavan</cp:lastModifiedBy>
  <dcterms:modified xsi:type="dcterms:W3CDTF">2025-07-03T20:09:43Z</dcterms:modified>
</cp:coreProperties>
</file>